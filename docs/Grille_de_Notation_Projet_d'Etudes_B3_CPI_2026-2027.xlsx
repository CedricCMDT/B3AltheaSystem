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emineoeducation.sharepoint.com/teams/FilireITSupdeVinci2/Documents partages/Pédagogie/Projets d'étude 25-26/B3/"/>
    </mc:Choice>
  </mc:AlternateContent>
  <xr:revisionPtr revIDLastSave="1123" documentId="13_ncr:1_{03F362BA-55A6-A64C-BEFB-C2F0B0711E1A}" xr6:coauthVersionLast="47" xr6:coauthVersionMax="47" xr10:uidLastSave="{57BCD41D-04EE-4E92-B925-4298F696E989}"/>
  <bookViews>
    <workbookView xWindow="-108" yWindow="-108" windowWidth="23256" windowHeight="12456" activeTab="2" xr2:uid="{3517DF7D-4A13-F241-881D-6694C841D765}"/>
  </bookViews>
  <sheets>
    <sheet name="MODE D'EMPLOI" sheetId="5" r:id="rId1"/>
    <sheet name="DATA &amp; RECAP" sheetId="2" r:id="rId2"/>
    <sheet name="GROUPE 1" sheetId="1" r:id="rId3"/>
  </sheets>
  <definedNames>
    <definedName name="_xlnm.Print_Area" localSheetId="2">'GROUPE 1'!$B$2:$G$82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 i="1" l="1"/>
  <c r="L9" i="1"/>
  <c r="L10" i="1"/>
  <c r="L11" i="1"/>
  <c r="L8" i="1"/>
  <c r="D81" i="1"/>
  <c r="O9" i="1" s="1"/>
  <c r="E81" i="1"/>
  <c r="O10" i="1" s="1"/>
  <c r="F81" i="1"/>
  <c r="O11" i="1" s="1"/>
  <c r="G81" i="1"/>
  <c r="O12" i="1" s="1"/>
  <c r="C81" i="1"/>
  <c r="O8" i="1" s="1"/>
  <c r="D65" i="1"/>
  <c r="E65" i="1"/>
  <c r="F65" i="1"/>
  <c r="G65" i="1"/>
  <c r="C65" i="1"/>
  <c r="D52" i="1"/>
  <c r="N9" i="1" s="1"/>
  <c r="E52" i="1"/>
  <c r="N10" i="1" s="1"/>
  <c r="F52" i="1"/>
  <c r="N11" i="1" s="1"/>
  <c r="G52" i="1"/>
  <c r="N12" i="1" s="1"/>
  <c r="C52" i="1"/>
  <c r="N8" i="1" s="1"/>
  <c r="D35" i="1"/>
  <c r="E35" i="1"/>
  <c r="F35" i="1"/>
  <c r="G35" i="1"/>
  <c r="D19" i="1"/>
  <c r="M9" i="1" s="1"/>
  <c r="E19" i="1"/>
  <c r="M10" i="1" s="1"/>
  <c r="F19" i="1"/>
  <c r="M11" i="1" s="1"/>
  <c r="G19" i="1"/>
  <c r="M12" i="1" s="1"/>
  <c r="C35" i="1"/>
  <c r="C19" i="1" l="1"/>
  <c r="M8" i="1" s="1"/>
</calcChain>
</file>

<file path=xl/sharedStrings.xml><?xml version="1.0" encoding="utf-8"?>
<sst xmlns="http://schemas.openxmlformats.org/spreadsheetml/2006/main" count="129" uniqueCount="94">
  <si>
    <t>Mode d'emploi</t>
  </si>
  <si>
    <t>FEUILLE RECAPITULATIF</t>
  </si>
  <si>
    <t>1. Indiquer le nom de la classe</t>
  </si>
  <si>
    <t>2. Compléter la liste des étudiants</t>
  </si>
  <si>
    <t>3. Dans la feuille RECAPITULATIF, reporter le résultat obtenu par bloc issu du tableau "récapitulatif des résultats par bloc" de la feuille GROUPE 1</t>
  </si>
  <si>
    <t>FEUILLE GROUPE</t>
  </si>
  <si>
    <t>Dupliquer la feuille "GROUPE 1" en fonction du nombre de groupe</t>
  </si>
  <si>
    <t>Compléter la colonne "point" en utilisant la liste déroulante</t>
  </si>
  <si>
    <t>Note de groupe</t>
  </si>
  <si>
    <t>Note individuelle</t>
  </si>
  <si>
    <t xml:space="preserve">          Compléter les notes de groupe pour  l'etudiant 1</t>
  </si>
  <si>
    <t xml:space="preserve">          Les notes seront répercutées sur les autres étudiants</t>
  </si>
  <si>
    <t>*Légende des parties SR</t>
  </si>
  <si>
    <t>Etudiants</t>
  </si>
  <si>
    <t>Parties</t>
  </si>
  <si>
    <t>Etudiant 1</t>
  </si>
  <si>
    <t>Réseaux &amp; Sécurité</t>
  </si>
  <si>
    <t>Etudiant 2</t>
  </si>
  <si>
    <t>Administration des équipements utilisateurs</t>
  </si>
  <si>
    <t xml:space="preserve">Etudiant 3 </t>
  </si>
  <si>
    <t>Infrastructure informatique</t>
  </si>
  <si>
    <t>Etudiant 4</t>
  </si>
  <si>
    <t>DevOps</t>
  </si>
  <si>
    <t>*Légende des parties DEV</t>
  </si>
  <si>
    <t>Classe:</t>
  </si>
  <si>
    <t>*Indiquer le nom de classe</t>
  </si>
  <si>
    <t>*Légende des parties</t>
  </si>
  <si>
    <t>Fonctionnement des grilles</t>
  </si>
  <si>
    <t>*A compléter afin de récupérer la liste des étudiants dans les grilles</t>
  </si>
  <si>
    <t>ETUDIANTS</t>
  </si>
  <si>
    <t>BLOCS</t>
  </si>
  <si>
    <t>Groupe Projet</t>
  </si>
  <si>
    <t>Nom</t>
  </si>
  <si>
    <t>Prénom</t>
  </si>
  <si>
    <t>BLOC 1</t>
  </si>
  <si>
    <t>BLOC 2</t>
  </si>
  <si>
    <t>BLOC 3</t>
  </si>
  <si>
    <t>NOM GROUPE PROJET :</t>
  </si>
  <si>
    <t>REF PEDA</t>
  </si>
  <si>
    <t xml:space="preserve">Etudiant 1 </t>
  </si>
  <si>
    <t>Etudiant 3</t>
  </si>
  <si>
    <t>Etudiant 5</t>
  </si>
  <si>
    <t>Premier rendu : Rendez-vous de cadrage</t>
  </si>
  <si>
    <t>NOM</t>
  </si>
  <si>
    <t>Critères d'évaluation</t>
  </si>
  <si>
    <t>Points</t>
  </si>
  <si>
    <t>Qualité des questions (logique, pertinence, clarté)</t>
  </si>
  <si>
    <t xml:space="preserve"> </t>
  </si>
  <si>
    <t>Nombre de questions (minimum 3 par étudiant)</t>
  </si>
  <si>
    <t>Qualité d'animation</t>
  </si>
  <si>
    <t>Niveau de compréhension du sujet (démontré à travers les questions posées)</t>
  </si>
  <si>
    <t>Collaboration avec le "client" (qualité des échanges, réactivité)</t>
  </si>
  <si>
    <t>Clarté et organisation des documents (PDF, présentation, structure)</t>
  </si>
  <si>
    <t>Originalité et profondeur des questions posées (questions qui démontrent une réflexion approfondie sur le sujet)</t>
  </si>
  <si>
    <t>Qualité de la formulation et absence d'ambiguïté dans les questions</t>
  </si>
  <si>
    <t>Commentaire</t>
  </si>
  <si>
    <t>Total : 50 points</t>
  </si>
  <si>
    <t>Rendu sur l’évaluation du bloc 1 « Piloter un Projet Informatique ».</t>
  </si>
  <si>
    <t>Deuxième rendu : Rendu de Cadrage</t>
  </si>
  <si>
    <t>Pertinence et justification des choix techniques : Adéquation des technologies, outils ou frameworks retenus par rapport aux besoins du projet, accompagnée d’une justification claire.</t>
  </si>
  <si>
    <t>Clarté et cohérence du plan de projet : Structuration logique des étapes clés (conception, développement, tests, déploiement) et leur alignement avec les objectifs globaux.</t>
  </si>
  <si>
    <t>Précision et organisation du calendrier de planification : Identification des tâches, estimation réaliste des durées et clarté des dates de début et de fin.</t>
  </si>
  <si>
    <t>Qualité et pertinence des schémas techniques ou de planification : Utilisation efficace de diagrammes ou outils visuels (Gantt, PERT, UML, etc.) pour expliciter les étapes et les dépendances.</t>
  </si>
  <si>
    <t>Identification et gestion des dépendances entre tâches : Cohérence dans la gestion des relations entre les différentes étapes du projet et anticipation des impacts.</t>
  </si>
  <si>
    <t>Évaluation des risques et gestion anticipée : Identification des principaux risques et pertinence des stratégies proposées pour les atténuer.</t>
  </si>
  <si>
    <t>Inclusion et pertinence des jalons clés (milestones) : Définition claire des étapes de validation importantes dans la progression du projet.</t>
  </si>
  <si>
    <t>Estimation réaliste des ressources nécessaires : Cohérence des ressources (temps, personnes, matériel) avec les objectifs fixés.</t>
  </si>
  <si>
    <t>Troisième rendu : Soutenance &amp; démo du projet - MVP</t>
  </si>
  <si>
    <t>Clarté de la présentation orale (Structure, fluidité, pertinence des informations, capacité à capter l’attention du jury.)</t>
  </si>
  <si>
    <t>Contexte et objectifs du projet (Présentation claire des besoins identifiés, compréhension globale du projet, et liens avec les attentes du client fictif.)</t>
  </si>
  <si>
    <t>Qualité de la démonstration du MVP (Fonctionnalités opérationnelles, pertinence par rapport aux besoins exprimés et valeur ajoutée.)</t>
  </si>
  <si>
    <t>Qualité du support (Esthétique, clarté des diapositives, cohérence visuelle, et adéquation au discours.)</t>
  </si>
  <si>
    <t>Pertinence des perspectives d’évolution (Propositions réalistes et stratégiques pour les prochaines phases du projet.)</t>
  </si>
  <si>
    <t>Originalité et innovation (Niveau d’innovation du MVP par rapport aux solutions existantes sur le marché ou aux attentes initiales.)</t>
  </si>
  <si>
    <t>Impact potentiel du MVP (Capacité à convaincre les utilisateurs finaux, satisfaction des besoins réels et apport d'une solution pérenne.)</t>
  </si>
  <si>
    <r>
      <t xml:space="preserve">Aller plus loin que l'attendu </t>
    </r>
    <r>
      <rPr>
        <sz val="10"/>
        <color theme="1"/>
        <rFont val="Calibri"/>
      </rPr>
      <t>(Ajustement de ±2 points : Intégration de fonctionnalités ou propositions supplémentaires dépassant les attentes initiales.)</t>
    </r>
  </si>
  <si>
    <r>
      <t>Engagement individuel (Bonus) (</t>
    </r>
    <r>
      <rPr>
        <sz val="10"/>
        <color theme="1"/>
        <rFont val="Calibri"/>
      </rPr>
      <t>Ajustement de ±2 points en fonction de la participation active de chaque membre, si des écarts sont constatés.)</t>
    </r>
  </si>
  <si>
    <t>Rendu sur l’évaluation du bloc 2 « Coordonner une équipe projet ».</t>
  </si>
  <si>
    <t>Quatriéme rendu : Analyse de la dynamique du projet</t>
  </si>
  <si>
    <t>Réflexion personnelle sur les défis rencontrés</t>
  </si>
  <si>
    <t>Capacité à identifier ses forces et faiblesses</t>
  </si>
  <si>
    <t>Analyse des compétences développées</t>
  </si>
  <si>
    <t>Proposition d'axes d'amélioration pour de futurs projets</t>
  </si>
  <si>
    <t>Qualité de la rédaction et clarté du document</t>
  </si>
  <si>
    <t>Cinquiéme rendu : Livrable final technique</t>
  </si>
  <si>
    <t>Précision technique du livrable final : Évaluation de la qualité des configurations et des implémentations techniques, qu’il s’agisse de systèmes, réseaux ou d’applications logicielles. Cela inclut la conformité aux spécifications, le niveau de détail fourni, et la justesse des éléments livrés</t>
  </si>
  <si>
    <t>Pertinence et clarté des schémas techniques : Évaluation des diagrammes fournis (réseau, systèmes, architecture logicielle, UML), leur capacité à expliquer les solutions et à être utilisés comme référence technique.</t>
  </si>
  <si>
    <t>Qualité des tests techniques et pertinence des résultats documentés : Évaluation de la documentation des tests techniques (sécurité, résilience, performance) réalisés, avec des méthodologies claires, des résultats exploités pour valider les objectifs du projet, et des preuves de conformité aux attentes projetées. (DAT/DCT)</t>
  </si>
  <si>
    <t>Organisation et structuration du document : Clarté et logique dans la structuration de la documentation (introduction, descriptions techniques, annexes), facilitant sa lecture et son utilisation par un technicien ou un ingénieur.</t>
  </si>
  <si>
    <t>Gestion de la sécurité et conformité : Justification des mesures de sécurité mises en place (systèmes, réseaux, applications) et respect des normes (RGPD, ISO 27001, etc.).</t>
  </si>
  <si>
    <t>Mise en œuvre de la scalabilité et de la performance : Documentation des stratégies permettant l’évolution et l’optimisation des systèmes ou logiciels livrés (auto-scaling, monitoring, gestion des ressources).</t>
  </si>
  <si>
    <t>Respect des délais et conformité avec les exigences initiales : Adéquation des livrables soumis avec le cahier des charges et les délais imposés.</t>
  </si>
  <si>
    <t>Gouvernance et vision d’évolution des systèmes : Inclusion d’une réflexion sur l’avenir de l’infrastructure ou des applications livrées, accompagnée d’une roadmap pour leur maintenance ou leur évolution.</t>
  </si>
  <si>
    <t>Rendu sur l’évaluation du bloc 3 « Superviser la mise en œuvre d'un projet informatique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</si>
</sst>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b/>
      <sz val="12"/>
      <color theme="1"/>
      <name val="Aptos Narrow"/>
      <family val="2"/>
      <scheme val="minor"/>
    </font>
    <font>
      <sz val="10.5"/>
      <color theme="1"/>
      <name val="Roboto"/>
    </font>
    <font>
      <b/>
      <sz val="14"/>
      <color theme="1"/>
      <name val="Aptos Narrow"/>
      <family val="2"/>
      <scheme val="minor"/>
    </font>
    <font>
      <i/>
      <sz val="12"/>
      <color theme="1"/>
      <name val="Aptos Narrow"/>
      <family val="2"/>
      <scheme val="minor"/>
    </font>
    <font>
      <b/>
      <i/>
      <sz val="12"/>
      <color theme="1"/>
      <name val="Aptos Narrow"/>
      <family val="2"/>
      <scheme val="minor"/>
    </font>
    <font>
      <b/>
      <sz val="20"/>
      <color theme="1"/>
      <name val="Aptos Narrow"/>
      <family val="2"/>
      <scheme val="minor"/>
    </font>
    <font>
      <sz val="14"/>
      <color theme="1"/>
      <name val="Aptos Narrow"/>
      <family val="2"/>
      <scheme val="minor"/>
    </font>
    <font>
      <b/>
      <sz val="11"/>
      <color rgb="FF000000"/>
      <name val="Calibri"/>
    </font>
    <font>
      <sz val="12"/>
      <color theme="1"/>
      <name val="Calibri"/>
    </font>
    <font>
      <b/>
      <sz val="14"/>
      <color theme="1"/>
      <name val="Calibri"/>
    </font>
    <font>
      <b/>
      <sz val="12"/>
      <color theme="1"/>
      <name val="Calibri"/>
    </font>
    <font>
      <i/>
      <sz val="10.5"/>
      <color theme="1"/>
      <name val="Calibri"/>
    </font>
    <font>
      <sz val="10.5"/>
      <color theme="1"/>
      <name val="Calibri"/>
    </font>
    <font>
      <i/>
      <sz val="12"/>
      <color theme="1"/>
      <name val="Calibri"/>
    </font>
    <font>
      <b/>
      <sz val="24"/>
      <color theme="1"/>
      <name val="Calibri"/>
    </font>
    <font>
      <sz val="16"/>
      <color theme="1"/>
      <name val="Calibri"/>
    </font>
    <font>
      <b/>
      <sz val="10.5"/>
      <color theme="1"/>
      <name val="Calibri"/>
    </font>
    <font>
      <sz val="11"/>
      <color theme="1"/>
      <name val="Calibri"/>
    </font>
    <font>
      <sz val="14"/>
      <color theme="1"/>
      <name val="Calibri"/>
    </font>
    <font>
      <i/>
      <sz val="11"/>
      <color theme="1"/>
      <name val="Calibri"/>
    </font>
    <font>
      <b/>
      <sz val="11"/>
      <color theme="1"/>
      <name val="Calibri"/>
    </font>
    <font>
      <sz val="10"/>
      <color theme="1"/>
      <name val="Calibri"/>
    </font>
    <font>
      <sz val="10"/>
      <name val="Calibri"/>
    </font>
    <font>
      <b/>
      <sz val="10"/>
      <color theme="1"/>
      <name val="Calibri"/>
    </font>
  </fonts>
  <fills count="9">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thin">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rgb="FF000000"/>
      </right>
      <top style="thin">
        <color indexed="64"/>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indexed="64"/>
      </bottom>
      <diagonal/>
    </border>
    <border>
      <left/>
      <right/>
      <top style="medium">
        <color indexed="64"/>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118">
    <xf numFmtId="0" fontId="0" fillId="0" borderId="0" xfId="0"/>
    <xf numFmtId="0" fontId="0" fillId="0" borderId="7" xfId="0" applyBorder="1"/>
    <xf numFmtId="0" fontId="1" fillId="0" borderId="0" xfId="0" applyFont="1"/>
    <xf numFmtId="0" fontId="0" fillId="0" borderId="9" xfId="0" applyBorder="1"/>
    <xf numFmtId="0" fontId="3" fillId="0" borderId="0" xfId="0" applyFont="1"/>
    <xf numFmtId="0" fontId="0" fillId="0" borderId="12" xfId="0" applyBorder="1"/>
    <xf numFmtId="0" fontId="0" fillId="0" borderId="13" xfId="0" applyBorder="1"/>
    <xf numFmtId="0" fontId="0" fillId="0" borderId="14" xfId="0" applyBorder="1"/>
    <xf numFmtId="0" fontId="0" fillId="0" borderId="6" xfId="0" applyBorder="1"/>
    <xf numFmtId="0" fontId="0" fillId="0" borderId="1" xfId="0" applyBorder="1"/>
    <xf numFmtId="0" fontId="0" fillId="0" borderId="8" xfId="0" applyBorder="1"/>
    <xf numFmtId="0" fontId="0" fillId="0" borderId="11" xfId="0" applyBorder="1"/>
    <xf numFmtId="0" fontId="4" fillId="0" borderId="0" xfId="0" applyFont="1"/>
    <xf numFmtId="0" fontId="1" fillId="0" borderId="15" xfId="0" applyFont="1" applyBorder="1"/>
    <xf numFmtId="0" fontId="1" fillId="0" borderId="16" xfId="0" applyFont="1" applyBorder="1"/>
    <xf numFmtId="0" fontId="1" fillId="0" borderId="17" xfId="0" applyFont="1" applyBorder="1"/>
    <xf numFmtId="0" fontId="5" fillId="0" borderId="19" xfId="0" applyFont="1" applyBorder="1"/>
    <xf numFmtId="0" fontId="6" fillId="0" borderId="0" xfId="0" applyFont="1"/>
    <xf numFmtId="0" fontId="7" fillId="0" borderId="0" xfId="0" applyFont="1"/>
    <xf numFmtId="0" fontId="0" fillId="0" borderId="0" xfId="0" applyAlignment="1">
      <alignment horizontal="right"/>
    </xf>
    <xf numFmtId="0" fontId="1" fillId="2" borderId="0" xfId="0" applyFont="1" applyFill="1"/>
    <xf numFmtId="0" fontId="2" fillId="3" borderId="0" xfId="0" applyFont="1" applyFill="1"/>
    <xf numFmtId="0" fontId="0" fillId="0" borderId="0" xfId="0" applyAlignment="1">
      <alignment wrapText="1"/>
    </xf>
    <xf numFmtId="0" fontId="0" fillId="0" borderId="0" xfId="0" applyAlignment="1">
      <alignment horizontal="left" vertical="center"/>
    </xf>
    <xf numFmtId="0" fontId="9" fillId="0" borderId="0" xfId="0" applyFont="1"/>
    <xf numFmtId="0" fontId="10" fillId="0" borderId="0" xfId="0" applyFont="1"/>
    <xf numFmtId="0" fontId="11" fillId="2" borderId="18" xfId="0" applyFont="1" applyFill="1" applyBorder="1"/>
    <xf numFmtId="0" fontId="12" fillId="0" borderId="0" xfId="0" applyFont="1"/>
    <xf numFmtId="0" fontId="11" fillId="0" borderId="0" xfId="0" applyFont="1"/>
    <xf numFmtId="0" fontId="13" fillId="3" borderId="20" xfId="0" applyFont="1" applyFill="1" applyBorder="1"/>
    <xf numFmtId="0" fontId="14" fillId="0" borderId="0" xfId="0" applyFont="1"/>
    <xf numFmtId="0" fontId="13" fillId="0" borderId="0" xfId="0" applyFont="1"/>
    <xf numFmtId="0" fontId="19" fillId="0" borderId="0" xfId="0" applyFont="1"/>
    <xf numFmtId="0" fontId="9" fillId="0" borderId="0" xfId="0" applyFont="1" applyAlignment="1">
      <alignment horizontal="center" vertical="center"/>
    </xf>
    <xf numFmtId="0" fontId="13" fillId="0" borderId="0" xfId="0" applyFont="1" applyAlignment="1">
      <alignment horizontal="center" vertical="center"/>
    </xf>
    <xf numFmtId="0" fontId="18" fillId="2" borderId="1" xfId="0" applyFont="1" applyFill="1" applyBorder="1" applyAlignment="1">
      <alignment horizontal="center" vertical="center"/>
    </xf>
    <xf numFmtId="0" fontId="18" fillId="0" borderId="5" xfId="0" applyFont="1" applyBorder="1"/>
    <xf numFmtId="0" fontId="18" fillId="0" borderId="0" xfId="0" applyFont="1" applyAlignment="1">
      <alignment horizontal="center" vertical="center"/>
    </xf>
    <xf numFmtId="0" fontId="18" fillId="0" borderId="0" xfId="0" applyFont="1"/>
    <xf numFmtId="0" fontId="18" fillId="3" borderId="11" xfId="0" applyFont="1" applyFill="1" applyBorder="1" applyAlignment="1">
      <alignment horizontal="center" vertical="center"/>
    </xf>
    <xf numFmtId="0" fontId="18" fillId="3" borderId="1" xfId="0" applyFont="1" applyFill="1" applyBorder="1" applyAlignment="1">
      <alignment horizontal="center" vertical="center"/>
    </xf>
    <xf numFmtId="0" fontId="18" fillId="0" borderId="23" xfId="0" applyFont="1" applyBorder="1"/>
    <xf numFmtId="0" fontId="11" fillId="4" borderId="24" xfId="0" applyFont="1" applyFill="1" applyBorder="1" applyAlignment="1">
      <alignment horizontal="center" vertical="center"/>
    </xf>
    <xf numFmtId="0" fontId="11" fillId="4" borderId="10" xfId="0" applyFont="1" applyFill="1" applyBorder="1" applyAlignment="1">
      <alignment horizontal="center" vertical="center"/>
    </xf>
    <xf numFmtId="0" fontId="11" fillId="6" borderId="24" xfId="0" applyFont="1" applyFill="1" applyBorder="1" applyAlignment="1">
      <alignment horizontal="center" vertical="center"/>
    </xf>
    <xf numFmtId="0" fontId="11" fillId="7" borderId="10" xfId="0" applyFont="1" applyFill="1" applyBorder="1" applyAlignment="1">
      <alignment horizontal="center" vertical="center"/>
    </xf>
    <xf numFmtId="0" fontId="11" fillId="8" borderId="25" xfId="0" applyFont="1" applyFill="1" applyBorder="1" applyAlignment="1">
      <alignment horizontal="center" vertical="center"/>
    </xf>
    <xf numFmtId="0" fontId="17" fillId="4" borderId="23" xfId="0" applyFont="1" applyFill="1" applyBorder="1"/>
    <xf numFmtId="0" fontId="18" fillId="0" borderId="23" xfId="0" applyFont="1" applyBorder="1" applyAlignment="1">
      <alignment horizontal="center" vertical="center"/>
    </xf>
    <xf numFmtId="0" fontId="18" fillId="0" borderId="26" xfId="0" applyFont="1" applyBorder="1" applyAlignment="1">
      <alignment horizontal="center" vertic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31" xfId="0" applyFont="1" applyBorder="1"/>
    <xf numFmtId="0" fontId="18" fillId="0" borderId="32" xfId="0" applyFont="1" applyBorder="1" applyAlignment="1">
      <alignment horizontal="center" vertical="center"/>
    </xf>
    <xf numFmtId="0" fontId="21" fillId="0" borderId="33" xfId="0" applyFont="1" applyBorder="1"/>
    <xf numFmtId="0" fontId="18" fillId="2" borderId="36" xfId="0" applyFont="1" applyFill="1" applyBorder="1" applyAlignment="1">
      <alignment horizontal="center" vertical="center"/>
    </xf>
    <xf numFmtId="0" fontId="18" fillId="2" borderId="38" xfId="0" applyFont="1" applyFill="1" applyBorder="1" applyAlignment="1">
      <alignment horizontal="center" vertical="center"/>
    </xf>
    <xf numFmtId="0" fontId="18" fillId="2" borderId="39" xfId="0" applyFont="1" applyFill="1" applyBorder="1" applyAlignment="1">
      <alignment horizontal="center" vertical="center"/>
    </xf>
    <xf numFmtId="0" fontId="18" fillId="3" borderId="40" xfId="0" applyFont="1" applyFill="1" applyBorder="1" applyAlignment="1">
      <alignment horizontal="center" vertical="center"/>
    </xf>
    <xf numFmtId="0" fontId="18" fillId="3" borderId="38" xfId="0" applyFont="1" applyFill="1" applyBorder="1" applyAlignment="1">
      <alignment horizontal="center" vertical="center"/>
    </xf>
    <xf numFmtId="0" fontId="18" fillId="3" borderId="39" xfId="0" applyFont="1" applyFill="1" applyBorder="1" applyAlignment="1">
      <alignment horizontal="center" vertical="center"/>
    </xf>
    <xf numFmtId="0" fontId="21" fillId="0" borderId="41" xfId="0" applyFont="1" applyBorder="1"/>
    <xf numFmtId="0" fontId="18" fillId="3" borderId="36" xfId="0" applyFont="1" applyFill="1" applyBorder="1" applyAlignment="1">
      <alignment horizontal="center" vertical="center"/>
    </xf>
    <xf numFmtId="0" fontId="18" fillId="0" borderId="46" xfId="0" applyFont="1" applyBorder="1" applyAlignment="1">
      <alignment horizontal="center" vertical="center"/>
    </xf>
    <xf numFmtId="0" fontId="20" fillId="0" borderId="5" xfId="0" applyFont="1" applyBorder="1" applyAlignment="1">
      <alignment wrapText="1"/>
    </xf>
    <xf numFmtId="0" fontId="16" fillId="0" borderId="31" xfId="0" applyFont="1" applyBorder="1"/>
    <xf numFmtId="0" fontId="9" fillId="0" borderId="32" xfId="0" applyFont="1" applyBorder="1" applyAlignment="1">
      <alignment horizontal="center" vertical="center"/>
    </xf>
    <xf numFmtId="0" fontId="17" fillId="0" borderId="33" xfId="0" applyFont="1" applyBorder="1"/>
    <xf numFmtId="0" fontId="15" fillId="0" borderId="0" xfId="0" applyFont="1" applyAlignment="1">
      <alignment horizont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8" fillId="8" borderId="56" xfId="0" applyFont="1" applyFill="1" applyBorder="1"/>
    <xf numFmtId="0" fontId="18" fillId="8" borderId="57" xfId="0" applyFont="1" applyFill="1" applyBorder="1"/>
    <xf numFmtId="0" fontId="20" fillId="8" borderId="58" xfId="0" applyFont="1" applyFill="1" applyBorder="1" applyAlignment="1">
      <alignment wrapText="1"/>
    </xf>
    <xf numFmtId="0" fontId="18" fillId="0" borderId="59" xfId="0" applyFont="1" applyBorder="1" applyAlignment="1">
      <alignment horizontal="center" vertical="center"/>
    </xf>
    <xf numFmtId="0" fontId="18" fillId="0" borderId="60" xfId="0" applyFont="1" applyBorder="1" applyAlignment="1">
      <alignment horizontal="center" vertical="center"/>
    </xf>
    <xf numFmtId="0" fontId="18" fillId="7" borderId="56" xfId="0" applyFont="1" applyFill="1" applyBorder="1"/>
    <xf numFmtId="0" fontId="18" fillId="7" borderId="57" xfId="0" applyFont="1" applyFill="1" applyBorder="1"/>
    <xf numFmtId="0" fontId="20" fillId="7" borderId="58" xfId="0" applyFont="1" applyFill="1" applyBorder="1" applyAlignment="1">
      <alignment wrapText="1"/>
    </xf>
    <xf numFmtId="0" fontId="18" fillId="6" borderId="56" xfId="0" applyFont="1" applyFill="1" applyBorder="1"/>
    <xf numFmtId="0" fontId="18" fillId="6" borderId="57" xfId="0" applyFont="1" applyFill="1" applyBorder="1"/>
    <xf numFmtId="0" fontId="20" fillId="6" borderId="58" xfId="0" applyFont="1" applyFill="1" applyBorder="1" applyAlignment="1">
      <alignment wrapText="1"/>
    </xf>
    <xf numFmtId="0" fontId="22" fillId="0" borderId="35" xfId="0" applyFont="1" applyBorder="1"/>
    <xf numFmtId="0" fontId="23" fillId="0" borderId="35" xfId="0" applyFont="1" applyBorder="1"/>
    <xf numFmtId="0" fontId="22" fillId="0" borderId="37" xfId="0" applyFont="1" applyBorder="1"/>
    <xf numFmtId="0" fontId="22" fillId="0" borderId="35" xfId="0" applyFont="1" applyBorder="1" applyAlignment="1">
      <alignment wrapText="1"/>
    </xf>
    <xf numFmtId="0" fontId="22" fillId="0" borderId="37" xfId="0" applyFont="1" applyBorder="1" applyAlignment="1">
      <alignment wrapText="1"/>
    </xf>
    <xf numFmtId="0" fontId="22" fillId="0" borderId="45" xfId="0" applyFont="1" applyBorder="1" applyAlignment="1">
      <alignment wrapText="1"/>
    </xf>
    <xf numFmtId="0" fontId="23" fillId="0" borderId="35" xfId="0" applyFont="1" applyBorder="1" applyAlignment="1">
      <alignment wrapText="1"/>
    </xf>
    <xf numFmtId="0" fontId="24" fillId="0" borderId="35" xfId="0" applyFont="1" applyBorder="1" applyAlignment="1">
      <alignment wrapText="1"/>
    </xf>
    <xf numFmtId="0" fontId="24" fillId="0" borderId="37" xfId="0" applyFont="1" applyBorder="1" applyAlignment="1">
      <alignment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left"/>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9" fillId="0" borderId="48" xfId="0" applyFont="1" applyBorder="1" applyAlignment="1">
      <alignment horizontal="center" vertical="center"/>
    </xf>
    <xf numFmtId="0" fontId="9" fillId="0" borderId="49" xfId="0" applyFont="1" applyBorder="1" applyAlignment="1">
      <alignment horizontal="center" vertical="center"/>
    </xf>
    <xf numFmtId="0" fontId="9" fillId="5" borderId="50" xfId="0" applyFont="1" applyFill="1" applyBorder="1" applyAlignment="1">
      <alignment horizontal="center" vertical="center"/>
    </xf>
    <xf numFmtId="0" fontId="9" fillId="5" borderId="51" xfId="0" applyFont="1" applyFill="1" applyBorder="1" applyAlignment="1">
      <alignment horizontal="center" vertical="center"/>
    </xf>
    <xf numFmtId="0" fontId="9" fillId="5" borderId="52" xfId="0" applyFont="1" applyFill="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17" fillId="0" borderId="34" xfId="0" applyFont="1" applyBorder="1" applyAlignment="1">
      <alignment horizontal="center" vertical="center"/>
    </xf>
    <xf numFmtId="10" fontId="18" fillId="0" borderId="61" xfId="0" applyNumberFormat="1" applyFont="1" applyBorder="1" applyAlignment="1">
      <alignment horizontal="center" vertical="center"/>
    </xf>
    <xf numFmtId="10" fontId="18" fillId="0" borderId="29" xfId="0" applyNumberFormat="1" applyFont="1" applyBorder="1" applyAlignment="1">
      <alignment horizontal="center" vertical="center"/>
    </xf>
    <xf numFmtId="10" fontId="18" fillId="0" borderId="30" xfId="0" applyNumberFormat="1" applyFont="1" applyBorder="1" applyAlignment="1">
      <alignment horizontal="center" vertical="center"/>
    </xf>
    <xf numFmtId="0" fontId="18" fillId="0" borderId="59" xfId="0" applyFont="1" applyBorder="1" applyAlignment="1">
      <alignment horizontal="center" vertical="center"/>
    </xf>
    <xf numFmtId="0" fontId="18" fillId="0" borderId="26" xfId="0" applyFont="1" applyBorder="1" applyAlignment="1">
      <alignment horizontal="center" vertical="center"/>
    </xf>
    <xf numFmtId="0" fontId="18" fillId="0" borderId="27" xfId="0" applyFont="1" applyBorder="1" applyAlignment="1">
      <alignment horizontal="center" vertical="center"/>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21" fillId="0" borderId="34" xfId="0" applyFont="1" applyBorder="1" applyAlignment="1">
      <alignment horizontal="center" vertical="center"/>
    </xf>
    <xf numFmtId="0" fontId="21" fillId="0" borderId="42" xfId="0" applyFont="1" applyBorder="1" applyAlignment="1">
      <alignment horizontal="center" vertical="center"/>
    </xf>
    <xf numFmtId="0" fontId="21" fillId="0" borderId="43" xfId="0" applyFont="1" applyBorder="1" applyAlignment="1">
      <alignment horizontal="center" vertical="center"/>
    </xf>
    <xf numFmtId="0" fontId="21" fillId="0" borderId="4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 1" id="{49EC76C3-20E9-4CD7-B421-00A84D040403}"/>
</namedSheetView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6301-8D5D-43B9-BF93-BB861D6D7B5A}">
  <dimension ref="A1:B28"/>
  <sheetViews>
    <sheetView workbookViewId="0">
      <selection activeCell="D15" sqref="D15"/>
    </sheetView>
  </sheetViews>
  <sheetFormatPr baseColWidth="10" defaultColWidth="11" defaultRowHeight="15.6" x14ac:dyDescent="0.3"/>
  <cols>
    <col min="1" max="1" width="40.5" customWidth="1"/>
  </cols>
  <sheetData>
    <row r="1" spans="1:2" ht="25.8" x14ac:dyDescent="0.5">
      <c r="A1" s="17" t="s">
        <v>0</v>
      </c>
    </row>
    <row r="3" spans="1:2" s="18" customFormat="1" ht="18" x14ac:dyDescent="0.35">
      <c r="A3" s="4" t="s">
        <v>1</v>
      </c>
    </row>
    <row r="4" spans="1:2" x14ac:dyDescent="0.3">
      <c r="A4" t="s">
        <v>2</v>
      </c>
    </row>
    <row r="5" spans="1:2" x14ac:dyDescent="0.3">
      <c r="A5" t="s">
        <v>3</v>
      </c>
    </row>
    <row r="6" spans="1:2" x14ac:dyDescent="0.3">
      <c r="A6" t="s">
        <v>4</v>
      </c>
    </row>
    <row r="8" spans="1:2" s="18" customFormat="1" ht="18" x14ac:dyDescent="0.35">
      <c r="A8" s="4" t="s">
        <v>5</v>
      </c>
    </row>
    <row r="9" spans="1:2" x14ac:dyDescent="0.3">
      <c r="A9" t="s">
        <v>6</v>
      </c>
    </row>
    <row r="10" spans="1:2" x14ac:dyDescent="0.3">
      <c r="A10" t="s">
        <v>7</v>
      </c>
    </row>
    <row r="11" spans="1:2" x14ac:dyDescent="0.3">
      <c r="A11" s="19" t="s">
        <v>8</v>
      </c>
      <c r="B11" s="20"/>
    </row>
    <row r="12" spans="1:2" x14ac:dyDescent="0.3">
      <c r="A12" s="19" t="s">
        <v>9</v>
      </c>
      <c r="B12" s="21"/>
    </row>
    <row r="13" spans="1:2" x14ac:dyDescent="0.3">
      <c r="A13" s="22" t="s">
        <v>8</v>
      </c>
    </row>
    <row r="14" spans="1:2" x14ac:dyDescent="0.3">
      <c r="A14" s="23" t="s">
        <v>10</v>
      </c>
    </row>
    <row r="15" spans="1:2" x14ac:dyDescent="0.3">
      <c r="A15" s="23" t="s">
        <v>11</v>
      </c>
    </row>
    <row r="16" spans="1:2" x14ac:dyDescent="0.3">
      <c r="A16" s="23"/>
    </row>
    <row r="17" spans="1:2" x14ac:dyDescent="0.3">
      <c r="A17" s="23"/>
    </row>
    <row r="18" spans="1:2" x14ac:dyDescent="0.3">
      <c r="A18" t="s">
        <v>12</v>
      </c>
      <c r="B18" s="2"/>
    </row>
    <row r="19" spans="1:2" x14ac:dyDescent="0.3">
      <c r="A19" s="2" t="s">
        <v>13</v>
      </c>
      <c r="B19" s="2" t="s">
        <v>14</v>
      </c>
    </row>
    <row r="20" spans="1:2" x14ac:dyDescent="0.3">
      <c r="A20" t="s">
        <v>15</v>
      </c>
      <c r="B20" t="s">
        <v>16</v>
      </c>
    </row>
    <row r="21" spans="1:2" x14ac:dyDescent="0.3">
      <c r="A21" t="s">
        <v>17</v>
      </c>
      <c r="B21" t="s">
        <v>18</v>
      </c>
    </row>
    <row r="22" spans="1:2" x14ac:dyDescent="0.3">
      <c r="A22" t="s">
        <v>19</v>
      </c>
      <c r="B22" t="s">
        <v>20</v>
      </c>
    </row>
    <row r="23" spans="1:2" x14ac:dyDescent="0.3">
      <c r="A23" t="s">
        <v>21</v>
      </c>
      <c r="B23" t="s">
        <v>22</v>
      </c>
    </row>
    <row r="25" spans="1:2" x14ac:dyDescent="0.3">
      <c r="A25" t="s">
        <v>23</v>
      </c>
    </row>
    <row r="26" spans="1:2" x14ac:dyDescent="0.3">
      <c r="A26" t="s">
        <v>15</v>
      </c>
    </row>
    <row r="27" spans="1:2" x14ac:dyDescent="0.3">
      <c r="A27" t="s">
        <v>17</v>
      </c>
    </row>
    <row r="28" spans="1:2" x14ac:dyDescent="0.3">
      <c r="A28"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70CE-BF31-48DF-9F56-73E21C56B338}">
  <sheetPr codeName="Feuil1"/>
  <dimension ref="B1:K32"/>
  <sheetViews>
    <sheetView showGridLines="0" workbookViewId="0">
      <selection activeCell="B6" sqref="B6"/>
    </sheetView>
  </sheetViews>
  <sheetFormatPr baseColWidth="10" defaultColWidth="11" defaultRowHeight="15.6" x14ac:dyDescent="0.3"/>
  <cols>
    <col min="1" max="1" width="0.59765625" customWidth="1"/>
    <col min="2" max="2" width="16.09765625" customWidth="1"/>
    <col min="3" max="3" width="18.09765625" customWidth="1"/>
    <col min="4" max="4" width="20.09765625" customWidth="1"/>
    <col min="7" max="7" width="12.59765625" customWidth="1"/>
    <col min="8" max="8" width="0" hidden="1" customWidth="1"/>
    <col min="9" max="9" width="36.59765625" hidden="1" customWidth="1"/>
    <col min="10" max="10" width="1.3984375" hidden="1" customWidth="1"/>
    <col min="11" max="11" width="54.8984375" hidden="1" customWidth="1"/>
  </cols>
  <sheetData>
    <row r="1" spans="2:11" ht="3" customHeight="1" thickBot="1" x14ac:dyDescent="0.35"/>
    <row r="2" spans="2:11" ht="16.5" customHeight="1" x14ac:dyDescent="0.3">
      <c r="B2" s="2" t="s">
        <v>24</v>
      </c>
      <c r="C2" s="12" t="s">
        <v>25</v>
      </c>
      <c r="H2" s="12" t="s">
        <v>26</v>
      </c>
      <c r="I2" s="2"/>
      <c r="K2" s="16" t="s">
        <v>27</v>
      </c>
    </row>
    <row r="3" spans="2:11" ht="16.2" thickBot="1" x14ac:dyDescent="0.35">
      <c r="B3" s="95" t="s">
        <v>28</v>
      </c>
      <c r="C3" s="95"/>
      <c r="D3" s="95"/>
      <c r="E3" s="95"/>
      <c r="K3" s="12"/>
    </row>
    <row r="4" spans="2:11" ht="16.2" thickBot="1" x14ac:dyDescent="0.35">
      <c r="B4" s="92" t="s">
        <v>29</v>
      </c>
      <c r="C4" s="93"/>
      <c r="D4" s="94"/>
      <c r="E4" s="93" t="s">
        <v>30</v>
      </c>
      <c r="F4" s="93"/>
      <c r="G4" s="94"/>
      <c r="H4" s="2"/>
      <c r="K4" s="12"/>
    </row>
    <row r="5" spans="2:11" ht="16.2" thickBot="1" x14ac:dyDescent="0.35">
      <c r="B5" s="13" t="s">
        <v>31</v>
      </c>
      <c r="C5" s="14" t="s">
        <v>32</v>
      </c>
      <c r="D5" s="15" t="s">
        <v>33</v>
      </c>
      <c r="E5" s="13" t="s">
        <v>34</v>
      </c>
      <c r="F5" s="14" t="s">
        <v>35</v>
      </c>
      <c r="G5" s="15" t="s">
        <v>36</v>
      </c>
      <c r="K5" s="12"/>
    </row>
    <row r="6" spans="2:11" x14ac:dyDescent="0.3">
      <c r="B6" s="5"/>
      <c r="C6" s="6"/>
      <c r="D6" s="7"/>
      <c r="E6" s="5"/>
      <c r="F6" s="6"/>
      <c r="G6" s="7"/>
      <c r="K6" s="12"/>
    </row>
    <row r="7" spans="2:11" x14ac:dyDescent="0.3">
      <c r="B7" s="5"/>
      <c r="C7" s="9"/>
      <c r="D7" s="1"/>
      <c r="E7" s="8"/>
      <c r="F7" s="9"/>
      <c r="G7" s="1"/>
      <c r="K7" s="12"/>
    </row>
    <row r="8" spans="2:11" x14ac:dyDescent="0.3">
      <c r="B8" s="5"/>
      <c r="C8" s="9"/>
      <c r="D8" s="1"/>
      <c r="E8" s="8"/>
      <c r="F8" s="9"/>
      <c r="G8" s="1"/>
      <c r="K8" s="12"/>
    </row>
    <row r="9" spans="2:11" x14ac:dyDescent="0.3">
      <c r="B9" s="5"/>
      <c r="C9" s="9"/>
      <c r="D9" s="1"/>
      <c r="E9" s="8"/>
      <c r="F9" s="9"/>
      <c r="G9" s="1"/>
      <c r="K9" s="12"/>
    </row>
    <row r="10" spans="2:11" x14ac:dyDescent="0.3">
      <c r="B10" s="8"/>
      <c r="C10" s="9"/>
      <c r="D10" s="1"/>
      <c r="E10" s="8"/>
      <c r="F10" s="9"/>
      <c r="G10" s="1"/>
      <c r="K10" s="12"/>
    </row>
    <row r="11" spans="2:11" x14ac:dyDescent="0.3">
      <c r="B11" s="8"/>
      <c r="C11" s="9"/>
      <c r="D11" s="1"/>
      <c r="E11" s="8"/>
      <c r="F11" s="9"/>
      <c r="G11" s="1"/>
      <c r="K11" s="12"/>
    </row>
    <row r="12" spans="2:11" x14ac:dyDescent="0.3">
      <c r="B12" s="8"/>
      <c r="C12" s="9"/>
      <c r="D12" s="1"/>
      <c r="E12" s="8"/>
      <c r="F12" s="9"/>
      <c r="G12" s="1"/>
      <c r="K12" s="12"/>
    </row>
    <row r="13" spans="2:11" x14ac:dyDescent="0.3">
      <c r="B13" s="8"/>
      <c r="C13" s="9"/>
      <c r="D13" s="1"/>
      <c r="E13" s="8"/>
      <c r="F13" s="9"/>
      <c r="G13" s="1"/>
    </row>
    <row r="14" spans="2:11" x14ac:dyDescent="0.3">
      <c r="B14" s="8"/>
      <c r="C14" s="9"/>
      <c r="D14" s="1"/>
      <c r="E14" s="8"/>
      <c r="F14" s="9"/>
      <c r="G14" s="1"/>
    </row>
    <row r="15" spans="2:11" x14ac:dyDescent="0.3">
      <c r="B15" s="8"/>
      <c r="C15" s="9"/>
      <c r="D15" s="1"/>
      <c r="E15" s="8"/>
      <c r="F15" s="9"/>
      <c r="G15" s="1"/>
    </row>
    <row r="16" spans="2:11" x14ac:dyDescent="0.3">
      <c r="B16" s="8"/>
      <c r="C16" s="9"/>
      <c r="D16" s="1"/>
      <c r="E16" s="8"/>
      <c r="F16" s="9"/>
      <c r="G16" s="1"/>
    </row>
    <row r="17" spans="2:7" x14ac:dyDescent="0.3">
      <c r="B17" s="8"/>
      <c r="C17" s="9"/>
      <c r="D17" s="1"/>
      <c r="E17" s="8"/>
      <c r="F17" s="9"/>
      <c r="G17" s="1"/>
    </row>
    <row r="18" spans="2:7" x14ac:dyDescent="0.3">
      <c r="B18" s="8"/>
      <c r="C18" s="9"/>
      <c r="D18" s="1"/>
      <c r="E18" s="8"/>
      <c r="F18" s="9"/>
      <c r="G18" s="1"/>
    </row>
    <row r="19" spans="2:7" x14ac:dyDescent="0.3">
      <c r="B19" s="8"/>
      <c r="C19" s="9"/>
      <c r="D19" s="1"/>
      <c r="E19" s="8"/>
      <c r="F19" s="9"/>
      <c r="G19" s="1"/>
    </row>
    <row r="20" spans="2:7" x14ac:dyDescent="0.3">
      <c r="B20" s="8"/>
      <c r="C20" s="9"/>
      <c r="D20" s="1"/>
      <c r="E20" s="8"/>
      <c r="F20" s="9"/>
      <c r="G20" s="1"/>
    </row>
    <row r="21" spans="2:7" x14ac:dyDescent="0.3">
      <c r="B21" s="8"/>
      <c r="C21" s="9"/>
      <c r="D21" s="1"/>
      <c r="E21" s="8"/>
      <c r="F21" s="9"/>
      <c r="G21" s="1"/>
    </row>
    <row r="22" spans="2:7" x14ac:dyDescent="0.3">
      <c r="B22" s="8"/>
      <c r="C22" s="9"/>
      <c r="D22" s="1"/>
      <c r="E22" s="8"/>
      <c r="F22" s="9"/>
      <c r="G22" s="1"/>
    </row>
    <row r="23" spans="2:7" x14ac:dyDescent="0.3">
      <c r="B23" s="8"/>
      <c r="C23" s="9"/>
      <c r="D23" s="1"/>
      <c r="E23" s="8"/>
      <c r="F23" s="9"/>
      <c r="G23" s="1"/>
    </row>
    <row r="24" spans="2:7" x14ac:dyDescent="0.3">
      <c r="B24" s="8"/>
      <c r="C24" s="9"/>
      <c r="D24" s="1"/>
      <c r="E24" s="8"/>
      <c r="F24" s="9"/>
      <c r="G24" s="1"/>
    </row>
    <row r="25" spans="2:7" x14ac:dyDescent="0.3">
      <c r="B25" s="8"/>
      <c r="C25" s="9"/>
      <c r="D25" s="1"/>
      <c r="E25" s="8"/>
      <c r="F25" s="9"/>
      <c r="G25" s="1"/>
    </row>
    <row r="26" spans="2:7" x14ac:dyDescent="0.3">
      <c r="B26" s="8"/>
      <c r="C26" s="9"/>
      <c r="D26" s="1"/>
      <c r="E26" s="8"/>
      <c r="F26" s="9"/>
      <c r="G26" s="1"/>
    </row>
    <row r="27" spans="2:7" x14ac:dyDescent="0.3">
      <c r="B27" s="8"/>
      <c r="C27" s="9"/>
      <c r="D27" s="1"/>
      <c r="E27" s="8"/>
      <c r="F27" s="9"/>
      <c r="G27" s="1"/>
    </row>
    <row r="28" spans="2:7" x14ac:dyDescent="0.3">
      <c r="B28" s="8"/>
      <c r="C28" s="9"/>
      <c r="D28" s="1"/>
      <c r="E28" s="8"/>
      <c r="F28" s="9"/>
      <c r="G28" s="1"/>
    </row>
    <row r="29" spans="2:7" x14ac:dyDescent="0.3">
      <c r="B29" s="8"/>
      <c r="C29" s="9"/>
      <c r="D29" s="1"/>
      <c r="E29" s="8"/>
      <c r="F29" s="9"/>
      <c r="G29" s="1"/>
    </row>
    <row r="30" spans="2:7" x14ac:dyDescent="0.3">
      <c r="B30" s="8"/>
      <c r="C30" s="9"/>
      <c r="D30" s="1"/>
      <c r="E30" s="8"/>
      <c r="F30" s="9"/>
      <c r="G30" s="1"/>
    </row>
    <row r="31" spans="2:7" x14ac:dyDescent="0.3">
      <c r="B31" s="8"/>
      <c r="C31" s="9"/>
      <c r="D31" s="1"/>
      <c r="E31" s="8"/>
      <c r="F31" s="9"/>
      <c r="G31" s="1"/>
    </row>
    <row r="32" spans="2:7" ht="16.2" thickBot="1" x14ac:dyDescent="0.35">
      <c r="B32" s="10"/>
      <c r="C32" s="11"/>
      <c r="D32" s="3"/>
      <c r="E32" s="10"/>
      <c r="F32" s="11"/>
      <c r="G32" s="3"/>
    </row>
  </sheetData>
  <mergeCells count="3">
    <mergeCell ref="B4:D4"/>
    <mergeCell ref="E4:G4"/>
    <mergeCell ref="B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C476-0CD0-CE4C-80A2-8FBAD1A9C73A}">
  <sheetPr codeName="Feuil2"/>
  <dimension ref="B3:O84"/>
  <sheetViews>
    <sheetView tabSelected="1" zoomScale="85" zoomScaleNormal="85" workbookViewId="0">
      <selection activeCell="K49" sqref="K49"/>
    </sheetView>
  </sheetViews>
  <sheetFormatPr baseColWidth="10" defaultColWidth="11" defaultRowHeight="15.75" customHeight="1" x14ac:dyDescent="0.3"/>
  <cols>
    <col min="1" max="1" width="5.3984375" style="24" customWidth="1"/>
    <col min="2" max="2" width="119.3984375" style="24" customWidth="1"/>
    <col min="3" max="7" width="11.3984375" style="33" customWidth="1"/>
    <col min="8" max="9" width="2.09765625" style="24" customWidth="1"/>
    <col min="10" max="10" width="10.3984375" style="24" customWidth="1"/>
    <col min="11" max="11" width="11.59765625" style="24" customWidth="1"/>
    <col min="12" max="12" width="19.59765625" style="24" customWidth="1"/>
    <col min="13" max="16384" width="11" style="24"/>
  </cols>
  <sheetData>
    <row r="3" spans="2:15" ht="18" x14ac:dyDescent="0.35">
      <c r="B3" s="25"/>
      <c r="C3" s="96" t="s">
        <v>37</v>
      </c>
      <c r="D3" s="97"/>
      <c r="E3" s="98" t="s">
        <v>38</v>
      </c>
      <c r="F3" s="98"/>
      <c r="G3" s="99"/>
      <c r="J3" s="26"/>
      <c r="K3" s="27" t="s">
        <v>8</v>
      </c>
    </row>
    <row r="4" spans="2:15" ht="15.6" x14ac:dyDescent="0.3">
      <c r="B4" s="28"/>
      <c r="J4" s="29"/>
      <c r="K4" s="30" t="s">
        <v>9</v>
      </c>
    </row>
    <row r="5" spans="2:15" ht="31.2" x14ac:dyDescent="0.6">
      <c r="B5" s="68"/>
      <c r="C5" s="69" t="s">
        <v>39</v>
      </c>
      <c r="D5" s="70" t="s">
        <v>17</v>
      </c>
      <c r="E5" s="70" t="s">
        <v>40</v>
      </c>
      <c r="F5" s="70" t="s">
        <v>21</v>
      </c>
      <c r="G5" s="71" t="s">
        <v>41</v>
      </c>
    </row>
    <row r="6" spans="2:15" ht="18.75" customHeight="1" x14ac:dyDescent="0.3">
      <c r="B6" s="100" t="s">
        <v>42</v>
      </c>
      <c r="C6" s="101"/>
      <c r="D6" s="101"/>
      <c r="E6" s="101"/>
      <c r="F6" s="101"/>
      <c r="G6" s="102"/>
    </row>
    <row r="7" spans="2:15" ht="18.75" customHeight="1" x14ac:dyDescent="0.4">
      <c r="B7" s="65"/>
      <c r="G7" s="66"/>
      <c r="J7" s="28"/>
      <c r="K7" s="42" t="s">
        <v>43</v>
      </c>
      <c r="L7" s="43" t="s">
        <v>33</v>
      </c>
      <c r="M7" s="44" t="s">
        <v>34</v>
      </c>
      <c r="N7" s="45" t="s">
        <v>35</v>
      </c>
      <c r="O7" s="46" t="s">
        <v>36</v>
      </c>
    </row>
    <row r="8" spans="2:15" ht="15.6" x14ac:dyDescent="0.3">
      <c r="B8" s="67" t="s">
        <v>44</v>
      </c>
      <c r="C8" s="103" t="s">
        <v>45</v>
      </c>
      <c r="D8" s="104"/>
      <c r="E8" s="104"/>
      <c r="F8" s="104"/>
      <c r="G8" s="105"/>
      <c r="J8" s="47" t="s">
        <v>15</v>
      </c>
      <c r="K8" s="41"/>
      <c r="L8" s="41">
        <f>_xlfn.XLOOKUP(K8,'DATA &amp; RECAP'!$C$6:$C$32,'DATA &amp; RECAP'!$D$6:$D$32,"Sélectionnez un nom")</f>
        <v>0</v>
      </c>
      <c r="M8" s="41">
        <f>((((C19*$C$20)+(C35*$C$36))*2)*20)/100</f>
        <v>20</v>
      </c>
      <c r="N8" s="41">
        <f>((((C52*$C$53)+(C65*$C$66))*2)*20)/100</f>
        <v>20</v>
      </c>
      <c r="O8" s="41">
        <f>((C81*20)/50)</f>
        <v>20</v>
      </c>
    </row>
    <row r="9" spans="2:15" ht="15.6" x14ac:dyDescent="0.3">
      <c r="B9" s="83" t="s">
        <v>46</v>
      </c>
      <c r="C9" s="35">
        <v>10</v>
      </c>
      <c r="D9" s="35">
        <v>10</v>
      </c>
      <c r="E9" s="35">
        <v>10</v>
      </c>
      <c r="F9" s="35">
        <v>10</v>
      </c>
      <c r="G9" s="55">
        <v>10</v>
      </c>
      <c r="H9" s="24" t="s">
        <v>47</v>
      </c>
      <c r="J9" s="47" t="s">
        <v>17</v>
      </c>
      <c r="K9" s="41"/>
      <c r="L9" s="41">
        <f>_xlfn.XLOOKUP(K9,'DATA &amp; RECAP'!$C$6:$C$32,'DATA &amp; RECAP'!$D$6:$D$32,"Sélectionnez un nom")</f>
        <v>0</v>
      </c>
      <c r="M9" s="41">
        <f>((((D19*$C$20)+(D35*$C$36))*2)*20)/100</f>
        <v>20</v>
      </c>
      <c r="N9" s="41">
        <f>((((D52*$C$53)+(D65*$C$66))*2)*20)/100</f>
        <v>20</v>
      </c>
      <c r="O9" s="41">
        <f>((D81*20)/50)</f>
        <v>20</v>
      </c>
    </row>
    <row r="10" spans="2:15" ht="15.6" x14ac:dyDescent="0.3">
      <c r="B10" s="83" t="s">
        <v>48</v>
      </c>
      <c r="C10" s="35">
        <v>10</v>
      </c>
      <c r="D10" s="35">
        <v>10</v>
      </c>
      <c r="E10" s="35">
        <v>10</v>
      </c>
      <c r="F10" s="35">
        <v>10</v>
      </c>
      <c r="G10" s="55">
        <v>10</v>
      </c>
      <c r="J10" s="47" t="s">
        <v>40</v>
      </c>
      <c r="K10" s="41"/>
      <c r="L10" s="41">
        <f>_xlfn.XLOOKUP(K10,'DATA &amp; RECAP'!$C$6:$C$32,'DATA &amp; RECAP'!$D$6:$D$32,"Sélectionnez un nom")</f>
        <v>0</v>
      </c>
      <c r="M10" s="41">
        <f>((((E19*$C$20)+(E35*$C$36))*2)*20)/100</f>
        <v>20</v>
      </c>
      <c r="N10" s="41">
        <f>((((E52*$C$53)+(E65*$C$66))*2)*20)/100</f>
        <v>20</v>
      </c>
      <c r="O10" s="41">
        <f>((E81*20)/50)</f>
        <v>20</v>
      </c>
    </row>
    <row r="11" spans="2:15" ht="15.6" x14ac:dyDescent="0.3">
      <c r="B11" s="84" t="s">
        <v>49</v>
      </c>
      <c r="C11" s="35">
        <v>10</v>
      </c>
      <c r="D11" s="35">
        <v>10</v>
      </c>
      <c r="E11" s="35">
        <v>10</v>
      </c>
      <c r="F11" s="35">
        <v>10</v>
      </c>
      <c r="G11" s="55">
        <v>10</v>
      </c>
      <c r="J11" s="47" t="s">
        <v>21</v>
      </c>
      <c r="K11" s="41"/>
      <c r="L11" s="41">
        <f>_xlfn.XLOOKUP(K11,'DATA &amp; RECAP'!$C$6:$C$32,'DATA &amp; RECAP'!$D$6:$D$32,"Sélectionnez un nom")</f>
        <v>0</v>
      </c>
      <c r="M11" s="41">
        <f>((((F19*$C$20)+(F35*$C$36))*2)*20)/100</f>
        <v>20</v>
      </c>
      <c r="N11" s="41">
        <f>((((F52*$C$53)+(F65*$C$66))*2)*20)/100</f>
        <v>20</v>
      </c>
      <c r="O11" s="41">
        <f>((F81*20)/50)</f>
        <v>20</v>
      </c>
    </row>
    <row r="12" spans="2:15" ht="15.6" x14ac:dyDescent="0.3">
      <c r="B12" s="83" t="s">
        <v>50</v>
      </c>
      <c r="C12" s="35">
        <v>5</v>
      </c>
      <c r="D12" s="35">
        <v>5</v>
      </c>
      <c r="E12" s="35">
        <v>5</v>
      </c>
      <c r="F12" s="35">
        <v>5</v>
      </c>
      <c r="G12" s="55">
        <v>5</v>
      </c>
      <c r="J12" s="47" t="s">
        <v>41</v>
      </c>
      <c r="K12" s="41"/>
      <c r="L12" s="41">
        <f>_xlfn.XLOOKUP(K12,'DATA &amp; RECAP'!$C$6:$C$32,'DATA &amp; RECAP'!$D$6:$D$32,"Sélectionnez un nom")</f>
        <v>0</v>
      </c>
      <c r="M12" s="41">
        <f>((((G19*$C$20)+(G35*$C$36))*2)*20)/100</f>
        <v>20</v>
      </c>
      <c r="N12" s="41">
        <f>((((G52*$C$53)+(G65*$C$66))*2)*20)/100</f>
        <v>20</v>
      </c>
      <c r="O12" s="41">
        <f>((G81*20)/50)</f>
        <v>20</v>
      </c>
    </row>
    <row r="13" spans="2:15" ht="15.6" x14ac:dyDescent="0.3">
      <c r="B13" s="83" t="s">
        <v>51</v>
      </c>
      <c r="C13" s="35">
        <v>5</v>
      </c>
      <c r="D13" s="35">
        <v>5</v>
      </c>
      <c r="E13" s="35">
        <v>5</v>
      </c>
      <c r="F13" s="35">
        <v>5</v>
      </c>
      <c r="G13" s="55">
        <v>5</v>
      </c>
    </row>
    <row r="14" spans="2:15" ht="15.6" x14ac:dyDescent="0.3">
      <c r="B14" s="84" t="s">
        <v>52</v>
      </c>
      <c r="C14" s="35">
        <v>5</v>
      </c>
      <c r="D14" s="35">
        <v>5</v>
      </c>
      <c r="E14" s="35">
        <v>5</v>
      </c>
      <c r="F14" s="35">
        <v>5</v>
      </c>
      <c r="G14" s="55">
        <v>5</v>
      </c>
    </row>
    <row r="15" spans="2:15" ht="15.6" x14ac:dyDescent="0.3">
      <c r="B15" s="83" t="s">
        <v>53</v>
      </c>
      <c r="C15" s="35">
        <v>3</v>
      </c>
      <c r="D15" s="35">
        <v>3</v>
      </c>
      <c r="E15" s="35">
        <v>3</v>
      </c>
      <c r="F15" s="35">
        <v>3</v>
      </c>
      <c r="G15" s="55">
        <v>3</v>
      </c>
    </row>
    <row r="16" spans="2:15" ht="15.6" x14ac:dyDescent="0.3">
      <c r="B16" s="85" t="s">
        <v>54</v>
      </c>
      <c r="C16" s="56">
        <v>2</v>
      </c>
      <c r="D16" s="56">
        <v>2</v>
      </c>
      <c r="E16" s="56">
        <v>2</v>
      </c>
      <c r="F16" s="56">
        <v>2</v>
      </c>
      <c r="G16" s="57">
        <v>2</v>
      </c>
    </row>
    <row r="17" spans="2:7" ht="15" customHeight="1" x14ac:dyDescent="0.3">
      <c r="B17" s="36"/>
      <c r="C17" s="37"/>
      <c r="D17" s="37"/>
      <c r="E17" s="37"/>
      <c r="F17" s="37"/>
      <c r="G17" s="37"/>
    </row>
    <row r="18" spans="2:7" s="32" customFormat="1" ht="36.75" customHeight="1" x14ac:dyDescent="0.35">
      <c r="B18" s="80" t="s">
        <v>55</v>
      </c>
      <c r="C18" s="109"/>
      <c r="D18" s="110"/>
      <c r="E18" s="110"/>
      <c r="F18" s="110"/>
      <c r="G18" s="111"/>
    </row>
    <row r="19" spans="2:7" s="32" customFormat="1" ht="18" x14ac:dyDescent="0.35">
      <c r="B19" s="81" t="s">
        <v>56</v>
      </c>
      <c r="C19" s="76">
        <f>SUM(C9:C16)</f>
        <v>50</v>
      </c>
      <c r="D19" s="48">
        <f t="shared" ref="D19:G19" si="0">SUM(D9:D16)</f>
        <v>50</v>
      </c>
      <c r="E19" s="48">
        <f t="shared" si="0"/>
        <v>50</v>
      </c>
      <c r="F19" s="48">
        <f t="shared" si="0"/>
        <v>50</v>
      </c>
      <c r="G19" s="51">
        <f t="shared" si="0"/>
        <v>50</v>
      </c>
    </row>
    <row r="20" spans="2:7" s="32" customFormat="1" ht="18" x14ac:dyDescent="0.35">
      <c r="B20" s="82" t="s">
        <v>57</v>
      </c>
      <c r="C20" s="106">
        <v>0.2</v>
      </c>
      <c r="D20" s="107"/>
      <c r="E20" s="107"/>
      <c r="F20" s="107"/>
      <c r="G20" s="108"/>
    </row>
    <row r="21" spans="2:7" ht="15.6" x14ac:dyDescent="0.3">
      <c r="B21" s="38"/>
      <c r="C21" s="37"/>
      <c r="D21" s="37"/>
      <c r="E21" s="37"/>
      <c r="F21" s="37"/>
      <c r="G21" s="37"/>
    </row>
    <row r="22" spans="2:7" ht="15.6" x14ac:dyDescent="0.3">
      <c r="B22" s="100" t="s">
        <v>58</v>
      </c>
      <c r="C22" s="101"/>
      <c r="D22" s="101"/>
      <c r="E22" s="101"/>
      <c r="F22" s="101"/>
      <c r="G22" s="102"/>
    </row>
    <row r="23" spans="2:7" ht="17.100000000000001" customHeight="1" x14ac:dyDescent="0.3">
      <c r="B23" s="52"/>
      <c r="C23" s="37"/>
      <c r="D23" s="37"/>
      <c r="E23" s="37"/>
      <c r="F23" s="37"/>
      <c r="G23" s="53"/>
    </row>
    <row r="24" spans="2:7" ht="15.6" x14ac:dyDescent="0.3">
      <c r="B24" s="54" t="s">
        <v>44</v>
      </c>
      <c r="C24" s="112" t="s">
        <v>45</v>
      </c>
      <c r="D24" s="113"/>
      <c r="E24" s="113"/>
      <c r="F24" s="113"/>
      <c r="G24" s="114"/>
    </row>
    <row r="25" spans="2:7" ht="27.6" x14ac:dyDescent="0.3">
      <c r="B25" s="86" t="s">
        <v>59</v>
      </c>
      <c r="C25" s="35">
        <v>10</v>
      </c>
      <c r="D25" s="35">
        <v>10</v>
      </c>
      <c r="E25" s="35">
        <v>10</v>
      </c>
      <c r="F25" s="35">
        <v>10</v>
      </c>
      <c r="G25" s="55">
        <v>10</v>
      </c>
    </row>
    <row r="26" spans="2:7" ht="27.6" x14ac:dyDescent="0.3">
      <c r="B26" s="86" t="s">
        <v>60</v>
      </c>
      <c r="C26" s="35">
        <v>10</v>
      </c>
      <c r="D26" s="35">
        <v>10</v>
      </c>
      <c r="E26" s="35">
        <v>10</v>
      </c>
      <c r="F26" s="35">
        <v>10</v>
      </c>
      <c r="G26" s="55">
        <v>10</v>
      </c>
    </row>
    <row r="27" spans="2:7" ht="15.6" x14ac:dyDescent="0.3">
      <c r="B27" s="86" t="s">
        <v>61</v>
      </c>
      <c r="C27" s="35">
        <v>10</v>
      </c>
      <c r="D27" s="35">
        <v>10</v>
      </c>
      <c r="E27" s="35">
        <v>10</v>
      </c>
      <c r="F27" s="35">
        <v>10</v>
      </c>
      <c r="G27" s="55">
        <v>10</v>
      </c>
    </row>
    <row r="28" spans="2:7" ht="27.6" x14ac:dyDescent="0.3">
      <c r="B28" s="86" t="s">
        <v>62</v>
      </c>
      <c r="C28" s="35">
        <v>5</v>
      </c>
      <c r="D28" s="35">
        <v>5</v>
      </c>
      <c r="E28" s="35">
        <v>5</v>
      </c>
      <c r="F28" s="35">
        <v>5</v>
      </c>
      <c r="G28" s="55">
        <v>5</v>
      </c>
    </row>
    <row r="29" spans="2:7" ht="15.6" x14ac:dyDescent="0.3">
      <c r="B29" s="86" t="s">
        <v>63</v>
      </c>
      <c r="C29" s="35">
        <v>5</v>
      </c>
      <c r="D29" s="35">
        <v>5</v>
      </c>
      <c r="E29" s="35">
        <v>5</v>
      </c>
      <c r="F29" s="35">
        <v>5</v>
      </c>
      <c r="G29" s="55">
        <v>5</v>
      </c>
    </row>
    <row r="30" spans="2:7" ht="15.6" x14ac:dyDescent="0.3">
      <c r="B30" s="86" t="s">
        <v>64</v>
      </c>
      <c r="C30" s="35">
        <v>5</v>
      </c>
      <c r="D30" s="35">
        <v>5</v>
      </c>
      <c r="E30" s="35">
        <v>5</v>
      </c>
      <c r="F30" s="35">
        <v>5</v>
      </c>
      <c r="G30" s="55">
        <v>5</v>
      </c>
    </row>
    <row r="31" spans="2:7" ht="15.6" x14ac:dyDescent="0.3">
      <c r="B31" s="86" t="s">
        <v>65</v>
      </c>
      <c r="C31" s="35">
        <v>3</v>
      </c>
      <c r="D31" s="35">
        <v>3</v>
      </c>
      <c r="E31" s="35">
        <v>3</v>
      </c>
      <c r="F31" s="35">
        <v>3</v>
      </c>
      <c r="G31" s="55">
        <v>3</v>
      </c>
    </row>
    <row r="32" spans="2:7" ht="15.6" x14ac:dyDescent="0.3">
      <c r="B32" s="87" t="s">
        <v>66</v>
      </c>
      <c r="C32" s="56">
        <v>2</v>
      </c>
      <c r="D32" s="56">
        <v>2</v>
      </c>
      <c r="E32" s="56">
        <v>2</v>
      </c>
      <c r="F32" s="56">
        <v>2</v>
      </c>
      <c r="G32" s="57">
        <v>2</v>
      </c>
    </row>
    <row r="33" spans="2:7" ht="15.6" x14ac:dyDescent="0.3">
      <c r="B33" s="36"/>
      <c r="C33" s="37"/>
      <c r="D33" s="37"/>
      <c r="E33" s="37"/>
      <c r="F33" s="37"/>
      <c r="G33" s="37"/>
    </row>
    <row r="34" spans="2:7" s="32" customFormat="1" ht="36" customHeight="1" x14ac:dyDescent="0.35">
      <c r="B34" s="80" t="s">
        <v>55</v>
      </c>
      <c r="C34" s="109"/>
      <c r="D34" s="110"/>
      <c r="E34" s="110"/>
      <c r="F34" s="110"/>
      <c r="G34" s="111"/>
    </row>
    <row r="35" spans="2:7" s="32" customFormat="1" ht="18" x14ac:dyDescent="0.35">
      <c r="B35" s="81" t="s">
        <v>56</v>
      </c>
      <c r="C35" s="76">
        <f>SUM(C25:C32)</f>
        <v>50</v>
      </c>
      <c r="D35" s="48">
        <f t="shared" ref="D35:G35" si="1">SUM(D25:D32)</f>
        <v>50</v>
      </c>
      <c r="E35" s="48">
        <f t="shared" si="1"/>
        <v>50</v>
      </c>
      <c r="F35" s="48">
        <f t="shared" si="1"/>
        <v>50</v>
      </c>
      <c r="G35" s="51">
        <f t="shared" si="1"/>
        <v>50</v>
      </c>
    </row>
    <row r="36" spans="2:7" s="32" customFormat="1" ht="18" x14ac:dyDescent="0.35">
      <c r="B36" s="82" t="s">
        <v>57</v>
      </c>
      <c r="C36" s="106">
        <v>0.8</v>
      </c>
      <c r="D36" s="107"/>
      <c r="E36" s="107"/>
      <c r="F36" s="107"/>
      <c r="G36" s="108"/>
    </row>
    <row r="37" spans="2:7" ht="15.6" x14ac:dyDescent="0.3">
      <c r="B37" s="38"/>
      <c r="C37" s="37"/>
      <c r="D37" s="37"/>
      <c r="E37" s="37"/>
      <c r="F37" s="37"/>
      <c r="G37" s="37"/>
    </row>
    <row r="38" spans="2:7" ht="15.6" x14ac:dyDescent="0.3">
      <c r="B38" s="100" t="s">
        <v>67</v>
      </c>
      <c r="C38" s="101"/>
      <c r="D38" s="101"/>
      <c r="E38" s="101"/>
      <c r="F38" s="101"/>
      <c r="G38" s="102"/>
    </row>
    <row r="39" spans="2:7" ht="15.6" x14ac:dyDescent="0.3">
      <c r="B39" s="52"/>
      <c r="C39" s="37"/>
      <c r="D39" s="37"/>
      <c r="E39" s="37"/>
      <c r="F39" s="37"/>
      <c r="G39" s="53"/>
    </row>
    <row r="40" spans="2:7" ht="15.6" x14ac:dyDescent="0.3">
      <c r="B40" s="54" t="s">
        <v>44</v>
      </c>
      <c r="C40" s="112" t="s">
        <v>45</v>
      </c>
      <c r="D40" s="113"/>
      <c r="E40" s="113"/>
      <c r="F40" s="113"/>
      <c r="G40" s="114"/>
    </row>
    <row r="41" spans="2:7" ht="15.6" x14ac:dyDescent="0.3">
      <c r="B41" s="86" t="s">
        <v>68</v>
      </c>
      <c r="C41" s="35">
        <v>10</v>
      </c>
      <c r="D41" s="35">
        <v>10</v>
      </c>
      <c r="E41" s="35">
        <v>10</v>
      </c>
      <c r="F41" s="35">
        <v>10</v>
      </c>
      <c r="G41" s="55">
        <v>10</v>
      </c>
    </row>
    <row r="42" spans="2:7" ht="15.6" x14ac:dyDescent="0.3">
      <c r="B42" s="86" t="s">
        <v>69</v>
      </c>
      <c r="C42" s="35">
        <v>10</v>
      </c>
      <c r="D42" s="35">
        <v>10</v>
      </c>
      <c r="E42" s="35">
        <v>10</v>
      </c>
      <c r="F42" s="35">
        <v>10</v>
      </c>
      <c r="G42" s="55">
        <v>10</v>
      </c>
    </row>
    <row r="43" spans="2:7" ht="15.6" x14ac:dyDescent="0.3">
      <c r="B43" s="86" t="s">
        <v>70</v>
      </c>
      <c r="C43" s="35">
        <v>10</v>
      </c>
      <c r="D43" s="35">
        <v>10</v>
      </c>
      <c r="E43" s="35">
        <v>10</v>
      </c>
      <c r="F43" s="35">
        <v>10</v>
      </c>
      <c r="G43" s="55">
        <v>10</v>
      </c>
    </row>
    <row r="44" spans="2:7" ht="15.6" x14ac:dyDescent="0.3">
      <c r="B44" s="89" t="s">
        <v>71</v>
      </c>
      <c r="C44" s="35">
        <v>5</v>
      </c>
      <c r="D44" s="35">
        <v>5</v>
      </c>
      <c r="E44" s="35">
        <v>5</v>
      </c>
      <c r="F44" s="35">
        <v>5</v>
      </c>
      <c r="G44" s="55">
        <v>5</v>
      </c>
    </row>
    <row r="45" spans="2:7" ht="15.6" x14ac:dyDescent="0.3">
      <c r="B45" s="86" t="s">
        <v>72</v>
      </c>
      <c r="C45" s="35">
        <v>5</v>
      </c>
      <c r="D45" s="35">
        <v>5</v>
      </c>
      <c r="E45" s="35">
        <v>5</v>
      </c>
      <c r="F45" s="35">
        <v>5</v>
      </c>
      <c r="G45" s="55">
        <v>5</v>
      </c>
    </row>
    <row r="46" spans="2:7" ht="15.6" x14ac:dyDescent="0.3">
      <c r="B46" s="86" t="s">
        <v>73</v>
      </c>
      <c r="C46" s="35">
        <v>5</v>
      </c>
      <c r="D46" s="35">
        <v>5</v>
      </c>
      <c r="E46" s="35">
        <v>5</v>
      </c>
      <c r="F46" s="35">
        <v>5</v>
      </c>
      <c r="G46" s="55">
        <v>5</v>
      </c>
    </row>
    <row r="47" spans="2:7" ht="15.6" x14ac:dyDescent="0.3">
      <c r="B47" s="86" t="s">
        <v>74</v>
      </c>
      <c r="C47" s="35">
        <v>5</v>
      </c>
      <c r="D47" s="35">
        <v>5</v>
      </c>
      <c r="E47" s="35">
        <v>5</v>
      </c>
      <c r="F47" s="35">
        <v>5</v>
      </c>
      <c r="G47" s="55">
        <v>5</v>
      </c>
    </row>
    <row r="48" spans="2:7" ht="15.6" x14ac:dyDescent="0.3">
      <c r="B48" s="90" t="s">
        <v>75</v>
      </c>
      <c r="C48" s="39">
        <v>0</v>
      </c>
      <c r="D48" s="39">
        <v>0</v>
      </c>
      <c r="E48" s="39">
        <v>0</v>
      </c>
      <c r="F48" s="39">
        <v>0</v>
      </c>
      <c r="G48" s="58">
        <v>0</v>
      </c>
    </row>
    <row r="49" spans="2:10" ht="15.6" x14ac:dyDescent="0.3">
      <c r="B49" s="91" t="s">
        <v>76</v>
      </c>
      <c r="C49" s="59">
        <v>0</v>
      </c>
      <c r="D49" s="59">
        <v>0</v>
      </c>
      <c r="E49" s="59">
        <v>0</v>
      </c>
      <c r="F49" s="59">
        <v>0</v>
      </c>
      <c r="G49" s="60">
        <v>0</v>
      </c>
      <c r="J49" s="31"/>
    </row>
    <row r="50" spans="2:10" ht="15.6" x14ac:dyDescent="0.3">
      <c r="B50" s="36"/>
      <c r="C50" s="37"/>
      <c r="D50" s="37"/>
      <c r="E50" s="37"/>
      <c r="F50" s="37"/>
      <c r="G50" s="37"/>
    </row>
    <row r="51" spans="2:10" s="32" customFormat="1" ht="68.25" customHeight="1" x14ac:dyDescent="0.35">
      <c r="B51" s="77" t="s">
        <v>55</v>
      </c>
      <c r="C51" s="75"/>
      <c r="D51" s="49"/>
      <c r="E51" s="49"/>
      <c r="F51" s="49"/>
      <c r="G51" s="50"/>
    </row>
    <row r="52" spans="2:10" s="32" customFormat="1" ht="18" x14ac:dyDescent="0.35">
      <c r="B52" s="78" t="s">
        <v>56</v>
      </c>
      <c r="C52" s="76">
        <f>SUM(C41:C49)</f>
        <v>50</v>
      </c>
      <c r="D52" s="48">
        <f t="shared" ref="D52:G52" si="2">SUM(D41:D49)</f>
        <v>50</v>
      </c>
      <c r="E52" s="48">
        <f t="shared" si="2"/>
        <v>50</v>
      </c>
      <c r="F52" s="48">
        <f t="shared" si="2"/>
        <v>50</v>
      </c>
      <c r="G52" s="51">
        <f t="shared" si="2"/>
        <v>50</v>
      </c>
    </row>
    <row r="53" spans="2:10" s="32" customFormat="1" ht="18" x14ac:dyDescent="0.35">
      <c r="B53" s="79" t="s">
        <v>77</v>
      </c>
      <c r="C53" s="106">
        <v>0.8</v>
      </c>
      <c r="D53" s="107"/>
      <c r="E53" s="107"/>
      <c r="F53" s="107"/>
      <c r="G53" s="108"/>
    </row>
    <row r="54" spans="2:10" ht="15.6" x14ac:dyDescent="0.3">
      <c r="B54" s="64"/>
      <c r="C54" s="37"/>
      <c r="D54" s="37"/>
      <c r="E54" s="37"/>
      <c r="F54" s="37"/>
      <c r="G54" s="37"/>
    </row>
    <row r="55" spans="2:10" ht="15.6" x14ac:dyDescent="0.3">
      <c r="B55" s="100" t="s">
        <v>78</v>
      </c>
      <c r="C55" s="101"/>
      <c r="D55" s="101"/>
      <c r="E55" s="101"/>
      <c r="F55" s="101"/>
      <c r="G55" s="102"/>
    </row>
    <row r="56" spans="2:10" ht="15.6" x14ac:dyDescent="0.3">
      <c r="B56" s="52"/>
      <c r="C56" s="63"/>
      <c r="D56" s="37"/>
      <c r="E56" s="37"/>
      <c r="F56" s="37"/>
      <c r="G56" s="53"/>
    </row>
    <row r="57" spans="2:10" ht="15.6" x14ac:dyDescent="0.3">
      <c r="B57" s="61" t="s">
        <v>44</v>
      </c>
      <c r="C57" s="115" t="s">
        <v>45</v>
      </c>
      <c r="D57" s="116"/>
      <c r="E57" s="116"/>
      <c r="F57" s="116"/>
      <c r="G57" s="117"/>
    </row>
    <row r="58" spans="2:10" ht="15.6" x14ac:dyDescent="0.3">
      <c r="B58" s="86" t="s">
        <v>79</v>
      </c>
      <c r="C58" s="40">
        <v>10</v>
      </c>
      <c r="D58" s="40">
        <v>10</v>
      </c>
      <c r="E58" s="40">
        <v>10</v>
      </c>
      <c r="F58" s="40">
        <v>10</v>
      </c>
      <c r="G58" s="62">
        <v>10</v>
      </c>
    </row>
    <row r="59" spans="2:10" ht="15.6" x14ac:dyDescent="0.3">
      <c r="B59" s="86" t="s">
        <v>80</v>
      </c>
      <c r="C59" s="40">
        <v>10</v>
      </c>
      <c r="D59" s="40">
        <v>10</v>
      </c>
      <c r="E59" s="40">
        <v>10</v>
      </c>
      <c r="F59" s="40">
        <v>10</v>
      </c>
      <c r="G59" s="62">
        <v>10</v>
      </c>
    </row>
    <row r="60" spans="2:10" ht="15.6" x14ac:dyDescent="0.3">
      <c r="B60" s="86" t="s">
        <v>81</v>
      </c>
      <c r="C60" s="40">
        <v>10</v>
      </c>
      <c r="D60" s="40">
        <v>10</v>
      </c>
      <c r="E60" s="40">
        <v>10</v>
      </c>
      <c r="F60" s="40">
        <v>10</v>
      </c>
      <c r="G60" s="62">
        <v>10</v>
      </c>
    </row>
    <row r="61" spans="2:10" ht="15.6" x14ac:dyDescent="0.3">
      <c r="B61" s="86" t="s">
        <v>82</v>
      </c>
      <c r="C61" s="40">
        <v>10</v>
      </c>
      <c r="D61" s="40">
        <v>10</v>
      </c>
      <c r="E61" s="40">
        <v>10</v>
      </c>
      <c r="F61" s="40">
        <v>10</v>
      </c>
      <c r="G61" s="62">
        <v>10</v>
      </c>
    </row>
    <row r="62" spans="2:10" ht="15.6" x14ac:dyDescent="0.3">
      <c r="B62" s="88" t="s">
        <v>83</v>
      </c>
      <c r="C62" s="40">
        <v>10</v>
      </c>
      <c r="D62" s="40">
        <v>10</v>
      </c>
      <c r="E62" s="40">
        <v>10</v>
      </c>
      <c r="F62" s="40">
        <v>10</v>
      </c>
      <c r="G62" s="62">
        <v>10</v>
      </c>
    </row>
    <row r="63" spans="2:10" ht="15.6" x14ac:dyDescent="0.3">
      <c r="B63" s="52"/>
      <c r="C63" s="37"/>
      <c r="D63" s="37"/>
      <c r="E63" s="37"/>
      <c r="F63" s="37"/>
      <c r="G63" s="53"/>
    </row>
    <row r="64" spans="2:10" s="32" customFormat="1" ht="58.5" customHeight="1" x14ac:dyDescent="0.35">
      <c r="B64" s="77" t="s">
        <v>55</v>
      </c>
      <c r="C64" s="75"/>
      <c r="D64" s="49"/>
      <c r="E64" s="49"/>
      <c r="F64" s="49"/>
      <c r="G64" s="50"/>
    </row>
    <row r="65" spans="2:7" s="32" customFormat="1" ht="18" x14ac:dyDescent="0.35">
      <c r="B65" s="78" t="s">
        <v>56</v>
      </c>
      <c r="C65" s="76">
        <f>SUM(C58:C62)</f>
        <v>50</v>
      </c>
      <c r="D65" s="48">
        <f t="shared" ref="D65:G65" si="3">SUM(D58:D62)</f>
        <v>50</v>
      </c>
      <c r="E65" s="48">
        <f t="shared" si="3"/>
        <v>50</v>
      </c>
      <c r="F65" s="48">
        <f t="shared" si="3"/>
        <v>50</v>
      </c>
      <c r="G65" s="51">
        <f t="shared" si="3"/>
        <v>50</v>
      </c>
    </row>
    <row r="66" spans="2:7" s="32" customFormat="1" ht="18" x14ac:dyDescent="0.35">
      <c r="B66" s="79" t="s">
        <v>77</v>
      </c>
      <c r="C66" s="106">
        <v>0.2</v>
      </c>
      <c r="D66" s="107"/>
      <c r="E66" s="107"/>
      <c r="F66" s="107"/>
      <c r="G66" s="108"/>
    </row>
    <row r="67" spans="2:7" ht="15.6" x14ac:dyDescent="0.3">
      <c r="B67" s="38"/>
      <c r="C67" s="37"/>
      <c r="D67" s="37"/>
      <c r="E67" s="37"/>
      <c r="F67" s="37"/>
      <c r="G67" s="37"/>
    </row>
    <row r="68" spans="2:7" ht="15.6" x14ac:dyDescent="0.3">
      <c r="B68" s="100" t="s">
        <v>84</v>
      </c>
      <c r="C68" s="101"/>
      <c r="D68" s="101"/>
      <c r="E68" s="101"/>
      <c r="F68" s="101"/>
      <c r="G68" s="102"/>
    </row>
    <row r="69" spans="2:7" ht="15.6" x14ac:dyDescent="0.3">
      <c r="B69" s="52"/>
      <c r="C69" s="37"/>
      <c r="D69" s="37"/>
      <c r="E69" s="37"/>
      <c r="F69" s="37"/>
      <c r="G69" s="53"/>
    </row>
    <row r="70" spans="2:7" ht="15.6" x14ac:dyDescent="0.3">
      <c r="B70" s="54" t="s">
        <v>44</v>
      </c>
      <c r="C70" s="112" t="s">
        <v>45</v>
      </c>
      <c r="D70" s="113"/>
      <c r="E70" s="113"/>
      <c r="F70" s="113"/>
      <c r="G70" s="114"/>
    </row>
    <row r="71" spans="2:7" ht="27.6" x14ac:dyDescent="0.3">
      <c r="B71" s="86" t="s">
        <v>85</v>
      </c>
      <c r="C71" s="40">
        <v>10</v>
      </c>
      <c r="D71" s="40">
        <v>10</v>
      </c>
      <c r="E71" s="40">
        <v>10</v>
      </c>
      <c r="F71" s="40">
        <v>10</v>
      </c>
      <c r="G71" s="62">
        <v>10</v>
      </c>
    </row>
    <row r="72" spans="2:7" ht="27.6" x14ac:dyDescent="0.3">
      <c r="B72" s="86" t="s">
        <v>86</v>
      </c>
      <c r="C72" s="40">
        <v>10</v>
      </c>
      <c r="D72" s="40">
        <v>10</v>
      </c>
      <c r="E72" s="40">
        <v>10</v>
      </c>
      <c r="F72" s="40">
        <v>10</v>
      </c>
      <c r="G72" s="62">
        <v>10</v>
      </c>
    </row>
    <row r="73" spans="2:7" ht="27.6" x14ac:dyDescent="0.3">
      <c r="B73" s="86" t="s">
        <v>87</v>
      </c>
      <c r="C73" s="40">
        <v>10</v>
      </c>
      <c r="D73" s="40">
        <v>10</v>
      </c>
      <c r="E73" s="40">
        <v>10</v>
      </c>
      <c r="F73" s="40">
        <v>10</v>
      </c>
      <c r="G73" s="62">
        <v>10</v>
      </c>
    </row>
    <row r="74" spans="2:7" ht="27.6" x14ac:dyDescent="0.3">
      <c r="B74" s="86" t="s">
        <v>88</v>
      </c>
      <c r="C74" s="40">
        <v>5</v>
      </c>
      <c r="D74" s="40">
        <v>5</v>
      </c>
      <c r="E74" s="40">
        <v>5</v>
      </c>
      <c r="F74" s="40">
        <v>5</v>
      </c>
      <c r="G74" s="62">
        <v>5</v>
      </c>
    </row>
    <row r="75" spans="2:7" ht="27.6" x14ac:dyDescent="0.3">
      <c r="B75" s="86" t="s">
        <v>89</v>
      </c>
      <c r="C75" s="40">
        <v>5</v>
      </c>
      <c r="D75" s="40">
        <v>5</v>
      </c>
      <c r="E75" s="40">
        <v>5</v>
      </c>
      <c r="F75" s="40">
        <v>5</v>
      </c>
      <c r="G75" s="62">
        <v>5</v>
      </c>
    </row>
    <row r="76" spans="2:7" ht="27.6" x14ac:dyDescent="0.3">
      <c r="B76" s="86" t="s">
        <v>90</v>
      </c>
      <c r="C76" s="40">
        <v>5</v>
      </c>
      <c r="D76" s="40">
        <v>5</v>
      </c>
      <c r="E76" s="40">
        <v>5</v>
      </c>
      <c r="F76" s="40">
        <v>5</v>
      </c>
      <c r="G76" s="62">
        <v>5</v>
      </c>
    </row>
    <row r="77" spans="2:7" ht="15.6" x14ac:dyDescent="0.3">
      <c r="B77" s="86" t="s">
        <v>91</v>
      </c>
      <c r="C77" s="40">
        <v>3</v>
      </c>
      <c r="D77" s="40">
        <v>3</v>
      </c>
      <c r="E77" s="40">
        <v>3</v>
      </c>
      <c r="F77" s="40">
        <v>3</v>
      </c>
      <c r="G77" s="62">
        <v>3</v>
      </c>
    </row>
    <row r="78" spans="2:7" ht="27.6" x14ac:dyDescent="0.3">
      <c r="B78" s="87" t="s">
        <v>92</v>
      </c>
      <c r="C78" s="59">
        <v>2</v>
      </c>
      <c r="D78" s="59">
        <v>2</v>
      </c>
      <c r="E78" s="59">
        <v>2</v>
      </c>
      <c r="F78" s="59">
        <v>2</v>
      </c>
      <c r="G78" s="60">
        <v>2</v>
      </c>
    </row>
    <row r="79" spans="2:7" ht="15.6" x14ac:dyDescent="0.3">
      <c r="B79" s="36"/>
      <c r="C79" s="37"/>
      <c r="D79" s="37"/>
      <c r="E79" s="37"/>
      <c r="F79" s="37"/>
      <c r="G79" s="37"/>
    </row>
    <row r="80" spans="2:7" s="32" customFormat="1" ht="73.5" customHeight="1" x14ac:dyDescent="0.35">
      <c r="B80" s="72" t="s">
        <v>55</v>
      </c>
      <c r="C80" s="75"/>
      <c r="D80" s="49"/>
      <c r="E80" s="49"/>
      <c r="F80" s="49"/>
      <c r="G80" s="50"/>
    </row>
    <row r="81" spans="2:7" s="32" customFormat="1" ht="18" x14ac:dyDescent="0.35">
      <c r="B81" s="73" t="s">
        <v>56</v>
      </c>
      <c r="C81" s="76">
        <f>SUM(C71:C78)</f>
        <v>50</v>
      </c>
      <c r="D81" s="48">
        <f t="shared" ref="D81:G81" si="4">SUM(D71:D78)</f>
        <v>50</v>
      </c>
      <c r="E81" s="48">
        <f t="shared" si="4"/>
        <v>50</v>
      </c>
      <c r="F81" s="48">
        <f t="shared" si="4"/>
        <v>50</v>
      </c>
      <c r="G81" s="51">
        <f t="shared" si="4"/>
        <v>50</v>
      </c>
    </row>
    <row r="82" spans="2:7" s="32" customFormat="1" ht="18" x14ac:dyDescent="0.35">
      <c r="B82" s="74" t="s">
        <v>93</v>
      </c>
      <c r="C82" s="106">
        <v>1</v>
      </c>
      <c r="D82" s="107"/>
      <c r="E82" s="107"/>
      <c r="F82" s="107"/>
      <c r="G82" s="108"/>
    </row>
    <row r="84" spans="2:7" ht="15.6" x14ac:dyDescent="0.3">
      <c r="C84" s="34"/>
      <c r="D84" s="34"/>
      <c r="E84" s="34"/>
      <c r="F84" s="34"/>
      <c r="G84" s="34"/>
    </row>
  </sheetData>
  <mergeCells count="19">
    <mergeCell ref="C24:G24"/>
    <mergeCell ref="C40:G40"/>
    <mergeCell ref="C57:G57"/>
    <mergeCell ref="C3:D3"/>
    <mergeCell ref="E3:G3"/>
    <mergeCell ref="B6:G6"/>
    <mergeCell ref="C8:G8"/>
    <mergeCell ref="C82:G82"/>
    <mergeCell ref="C18:G18"/>
    <mergeCell ref="C34:G34"/>
    <mergeCell ref="C70:G70"/>
    <mergeCell ref="C20:G20"/>
    <mergeCell ref="C36:G36"/>
    <mergeCell ref="C53:G53"/>
    <mergeCell ref="C66:G66"/>
    <mergeCell ref="B22:G22"/>
    <mergeCell ref="B38:G38"/>
    <mergeCell ref="B55:G55"/>
    <mergeCell ref="B68:G68"/>
  </mergeCells>
  <dataValidations count="6">
    <dataValidation type="list" showInputMessage="1" showErrorMessage="1" sqref="C58:G62 C9:G11 C25:G27 C41:G43 C71:G73" xr:uid="{D2ADF534-FD87-3544-88CD-F6F042F5D49C}">
      <formula1>"0,1,2,3,4,5,6,7,8,9,10"</formula1>
    </dataValidation>
    <dataValidation type="list" showInputMessage="1" showErrorMessage="1" sqref="C44:G47 C28:G30 C12:G14 C74:G76" xr:uid="{F30EF893-F460-C042-8875-9BC609C1676A}">
      <formula1>"0,1,2,3,4,5"</formula1>
    </dataValidation>
    <dataValidation type="list" allowBlank="1" showInputMessage="1" showErrorMessage="1" sqref="C31:G31 C15:G15 C77:G77" xr:uid="{6664B3BC-8DF8-3149-A276-F07F64717D6F}">
      <formula1>"0,1,2,3"</formula1>
    </dataValidation>
    <dataValidation type="list" showInputMessage="1" showErrorMessage="1" sqref="C32:G32 C16:G16 C78:G78" xr:uid="{AC317C16-6CA0-2245-BEEE-043A06683EDB}">
      <formula1>"0,1,2"</formula1>
    </dataValidation>
    <dataValidation type="list" allowBlank="1" showInputMessage="1" showErrorMessage="1" sqref="C48:G49" xr:uid="{BEFEDEB9-2F5B-EA4F-B152-103EA823E4EC}">
      <formula1>"-2,-1,0,1,2"</formula1>
    </dataValidation>
    <dataValidation allowBlank="1" showInputMessage="1" showErrorMessage="1" sqref="L8:L12" xr:uid="{9BEF1864-37FA-43DE-93E5-DC9A9EF9C9A3}"/>
  </dataValidations>
  <pageMargins left="0.25" right="0.25" top="0.75" bottom="0.75" header="0.3" footer="0.3"/>
  <pageSetup paperSize="9" scale="7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D604D4E6-9612-4C5F-9513-3892A6531EC3}">
          <x14:formula1>
            <xm:f>'DATA &amp; RECAP'!$C$6:$C$34</xm:f>
          </x14:formula1>
          <xm:sqref>K8:K12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CEF711806F834C88A2266E5B45593A" ma:contentTypeVersion="12" ma:contentTypeDescription="Crée un document." ma:contentTypeScope="" ma:versionID="a945f3f49ede6801f8053eacb94b869b">
  <xsd:schema xmlns:xsd="http://www.w3.org/2001/XMLSchema" xmlns:xs="http://www.w3.org/2001/XMLSchema" xmlns:p="http://schemas.microsoft.com/office/2006/metadata/properties" xmlns:ns2="747a320c-6b4e-4183-88dd-923490d0c259" targetNamespace="http://schemas.microsoft.com/office/2006/metadata/properties" ma:root="true" ma:fieldsID="05a42e5d4e684612291c037edeb9f681" ns2:_="">
    <xsd:import namespace="747a320c-6b4e-4183-88dd-923490d0c2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7a320c-6b4e-4183-88dd-923490d0c259"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MediaServiceDateTaken" ma:index="8" nillable="true" ma:displayName="MediaServiceDateTaken" ma:hidden="true" ma:indexed="true" ma:internalName="MediaServiceDateTaken" ma:readOnly="true">
      <xsd:simpleType>
        <xsd:restriction base="dms:Text"/>
      </xsd:simpleType>
    </xsd:element>
    <xsd:element name="MediaServiceGenerationTime" ma:index="9" nillable="true" ma:displayName="MediaServiceGenerationTime" ma:hidden="true" ma:internalName="MediaServiceGenerationTime" ma:readOnly="true">
      <xsd:simpleType>
        <xsd:restriction base="dms:Text"/>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BillingMetadata" ma:index="1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3EAC8A-60E3-459C-99A9-87069C5399F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35F590C-3D71-49F9-83E5-4533130E51E1}">
  <ds:schemaRefs>
    <ds:schemaRef ds:uri="http://schemas.microsoft.com/sharepoint/v3/contenttype/forms"/>
  </ds:schemaRefs>
</ds:datastoreItem>
</file>

<file path=customXml/itemProps3.xml><?xml version="1.0" encoding="utf-8"?>
<ds:datastoreItem xmlns:ds="http://schemas.openxmlformats.org/officeDocument/2006/customXml" ds:itemID="{2F936285-E71F-4AE4-AB8A-D644751707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MODE D'EMPLOI</vt:lpstr>
      <vt:lpstr>DATA &amp; RECAP</vt:lpstr>
      <vt:lpstr>GROUPE 1</vt:lpstr>
      <vt:lpstr>'GROUPE 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Laurent BIAGIOTTI</dc:creator>
  <cp:keywords/>
  <dc:description/>
  <cp:lastModifiedBy>GRAVELINE Timothée</cp:lastModifiedBy>
  <cp:revision/>
  <dcterms:created xsi:type="dcterms:W3CDTF">2024-11-13T15:15:28Z</dcterms:created>
  <dcterms:modified xsi:type="dcterms:W3CDTF">2026-06-11T12:07:51Z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0x010100ADCEF711806F834C88A2266E5B45593A</vt:lpwstr>
  </property>
  <property fmtid="{D5CDD505-2E9C-101B-9397-08002B2CF9AE}" pid="3" name="Order">
    <vt:r8>4800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